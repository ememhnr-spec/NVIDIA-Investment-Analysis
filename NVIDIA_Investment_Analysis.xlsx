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cal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Trading Comps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</font>
    <font>
      <b val="1"/>
      <color rgb="00FFFFFF"/>
    </font>
    <font>
      <b val="1"/>
      <color rgb="0017365D"/>
      <sz val="14"/>
    </font>
    <font/>
    <font>
      <b val="1"/>
    </font>
    <font>
      <b val="1"/>
      <color rgb="0017365D"/>
      <sz val="13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2" fontId="6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Operating Income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'Historical'!$A$2:$A$7</f>
            </numRef>
          </cat>
          <val>
            <numRef>
              <f>'Historical'!$B$2:$B$7</f>
            </numRef>
          </val>
        </ser>
        <ser>
          <idx val="1"/>
          <order val="1"/>
          <tx>
            <strRef>
              <f>'Historical'!C1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'Historical'!$A$2:$A$7</f>
            </numRef>
          </cat>
          <val>
            <numRef>
              <f>'Historical'!$C$2:$C$7</f>
            </numRef>
          </val>
        </ser>
        <ser>
          <idx val="2"/>
          <order val="2"/>
          <tx>
            <strRef>
              <f>'Historical'!D1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'Historical'!$A$2:$A$7</f>
            </numRef>
          </cat>
          <val>
            <numRef>
              <f>'Historical'!$D$2:$D$7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'Segments'!$A$2:$A$4</f>
            </numRef>
          </cat>
          <val>
            <numRef>
              <f>'Segments'!$B$2:$B$4</f>
            </numRef>
          </val>
        </ser>
        <ser>
          <idx val="1"/>
          <order val="1"/>
          <tx>
            <strRef>
              <f>'Segments'!C1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'Segments'!$A$2:$A$4</f>
            </numRef>
          </cat>
          <val>
            <numRef>
              <f>'Segments'!$C$2:$C$4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NVIDIA — Investment Committee Analysis</t>
        </is>
      </c>
      <c r="B1" s="2" t="n"/>
      <c r="C1" s="2" t="n"/>
      <c r="D1" s="2" t="n"/>
      <c r="E1" s="2" t="n"/>
      <c r="F1" s="2" t="n"/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Purpose</t>
        </is>
      </c>
      <c r="B4" s="3" t="inlineStr">
        <is>
          <t>Independent public-markets investment analysis prepared as a portfolio work sample.</t>
        </is>
      </c>
      <c r="C4" s="3" t="n"/>
      <c r="D4" s="3" t="n"/>
      <c r="E4" s="3" t="n"/>
      <c r="F4" s="3" t="n"/>
    </row>
    <row r="5">
      <c r="A5" s="4" t="inlineStr">
        <is>
          <t>Valuation date</t>
        </is>
      </c>
      <c r="B5" s="3" t="inlineStr">
        <is>
          <t>2 October 2026 market close</t>
        </is>
      </c>
      <c r="C5" s="3" t="n"/>
      <c r="D5" s="3" t="n"/>
      <c r="E5" s="3" t="n"/>
      <c r="F5" s="3" t="n"/>
    </row>
    <row r="6">
      <c r="A6" s="4" t="inlineStr">
        <is>
          <t>Model type</t>
        </is>
      </c>
      <c r="B6" s="3" t="inlineStr">
        <is>
          <t>Historical analysis + illustrative DCF + trading comparables + scenarios</t>
        </is>
      </c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4" t="inlineStr">
        <is>
          <t>Important</t>
        </is>
      </c>
      <c r="B8" s="3" t="inlineStr">
        <is>
          <t>Forecasts, WACC, terminal growth and scenario assumptions are illustrative analyst assumptions—not company guidance.</t>
        </is>
      </c>
      <c r="C8" s="3" t="n"/>
      <c r="D8" s="3" t="n"/>
      <c r="E8" s="3" t="n"/>
      <c r="F8" s="3" t="n"/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Fiscal Year</t>
        </is>
      </c>
      <c r="B1" s="5" t="inlineStr">
        <is>
          <t>Revenue ($bn)</t>
        </is>
      </c>
      <c r="C1" s="5" t="inlineStr">
        <is>
          <t>Gross Profit ($bn)</t>
        </is>
      </c>
      <c r="D1" s="5" t="inlineStr">
        <is>
          <t>Operating Income ($bn)</t>
        </is>
      </c>
      <c r="E1" s="5" t="inlineStr">
        <is>
          <t>Net Income ($bn)</t>
        </is>
      </c>
      <c r="F1" s="5" t="inlineStr">
        <is>
          <t>Operating Margin</t>
        </is>
      </c>
      <c r="G1" s="5" t="inlineStr">
        <is>
          <t>FCF ($bn)</t>
        </is>
      </c>
    </row>
    <row r="2">
      <c r="A2" s="3" t="inlineStr">
        <is>
          <t>FY2022</t>
        </is>
      </c>
      <c r="B2" s="6" t="n">
        <v>26.914</v>
      </c>
      <c r="C2" s="6" t="n">
        <v>17.475</v>
      </c>
      <c r="D2" s="6" t="n">
        <v>10.041</v>
      </c>
      <c r="E2" s="6" t="n">
        <v>9.752000000000001</v>
      </c>
      <c r="F2" s="7" t="n">
        <v>0.3730772088875678</v>
      </c>
      <c r="G2" s="6" t="n">
        <v>8.132</v>
      </c>
    </row>
    <row r="3">
      <c r="A3" s="3" t="inlineStr">
        <is>
          <t>FY2023</t>
        </is>
      </c>
      <c r="B3" s="6" t="n">
        <v>26.974</v>
      </c>
      <c r="C3" s="6" t="n">
        <v>15.356</v>
      </c>
      <c r="D3" s="6" t="n">
        <v>5.577</v>
      </c>
      <c r="E3" s="6" t="n">
        <v>4.368</v>
      </c>
      <c r="F3" s="7" t="n">
        <v>0.206754652628457</v>
      </c>
      <c r="G3" s="6" t="n">
        <v>3.808</v>
      </c>
    </row>
    <row r="4">
      <c r="A4" s="3" t="inlineStr">
        <is>
          <t>FY2024</t>
        </is>
      </c>
      <c r="B4" s="6" t="n">
        <v>60.922</v>
      </c>
      <c r="C4" s="6" t="n">
        <v>44.301</v>
      </c>
      <c r="D4" s="6" t="n">
        <v>32.972</v>
      </c>
      <c r="E4" s="6" t="n">
        <v>29.76</v>
      </c>
      <c r="F4" s="7" t="n">
        <v>0.5412166376678376</v>
      </c>
      <c r="G4" s="6" t="n">
        <v>27.021</v>
      </c>
    </row>
    <row r="5">
      <c r="A5" s="3" t="inlineStr">
        <is>
          <t>FY2025</t>
        </is>
      </c>
      <c r="B5" s="6" t="n">
        <v>130.497</v>
      </c>
      <c r="C5" s="6" t="n">
        <v>97.858</v>
      </c>
      <c r="D5" s="6" t="n">
        <v>81.453</v>
      </c>
      <c r="E5" s="6" t="n">
        <v>72.88</v>
      </c>
      <c r="F5" s="7" t="n">
        <v>0.6241752683969746</v>
      </c>
      <c r="G5" s="6" t="n">
        <v>60.853</v>
      </c>
    </row>
    <row r="6">
      <c r="A6" s="3" t="inlineStr">
        <is>
          <t>FY2026</t>
        </is>
      </c>
      <c r="B6" s="6" t="n">
        <v>215.938</v>
      </c>
      <c r="C6" s="6" t="n">
        <v>153.463</v>
      </c>
      <c r="D6" s="6" t="n">
        <v>130.387</v>
      </c>
      <c r="E6" s="6" t="n">
        <v>120.067</v>
      </c>
      <c r="F6" s="7" t="n">
        <v>0.6038168363141272</v>
      </c>
      <c r="G6" s="6" t="n">
        <v>96.676</v>
      </c>
    </row>
    <row r="7">
      <c r="A7" s="3" t="inlineStr">
        <is>
          <t>TTM Jul-26</t>
        </is>
      </c>
      <c r="B7" s="6" t="n">
        <v>302.97</v>
      </c>
      <c r="C7" s="6" t="n">
        <v>226.241</v>
      </c>
      <c r="D7" s="6" t="n">
        <v>197.579</v>
      </c>
      <c r="E7" s="6" t="n">
        <v>192.88</v>
      </c>
      <c r="F7" s="7" t="n">
        <v>0.6521404759547149</v>
      </c>
      <c r="G7" s="6" t="n">
        <v>127.006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5" t="inlineStr">
        <is>
          <t>Period</t>
        </is>
      </c>
      <c r="B1" s="5" t="inlineStr">
        <is>
          <t>Compute &amp; Networking ($bn)</t>
        </is>
      </c>
      <c r="C1" s="5" t="inlineStr">
        <is>
          <t>Graphics ($bn)</t>
        </is>
      </c>
      <c r="D1" s="5" t="inlineStr">
        <is>
          <t>Total ($bn)</t>
        </is>
      </c>
    </row>
    <row r="2">
      <c r="A2" s="3" t="inlineStr">
        <is>
          <t>FY2025</t>
        </is>
      </c>
      <c r="B2" s="6" t="n">
        <v>116.193</v>
      </c>
      <c r="C2" s="6" t="n">
        <v>14.304</v>
      </c>
      <c r="D2" s="6" t="n">
        <v>130.497</v>
      </c>
    </row>
    <row r="3">
      <c r="A3" s="3" t="inlineStr">
        <is>
          <t>FY2026</t>
        </is>
      </c>
      <c r="B3" s="6" t="n">
        <v>193.479</v>
      </c>
      <c r="C3" s="6" t="n">
        <v>22.459</v>
      </c>
      <c r="D3" s="6" t="n">
        <v>215.938</v>
      </c>
    </row>
    <row r="4">
      <c r="A4" s="3" t="inlineStr">
        <is>
          <t>TTM Jul-26</t>
        </is>
      </c>
      <c r="B4" s="6" t="n">
        <v>275.408</v>
      </c>
      <c r="C4" s="6" t="n">
        <v>27.561</v>
      </c>
      <c r="D4" s="6" t="n">
        <v>302.969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5" t="inlineStr">
        <is>
          <t>Company</t>
        </is>
      </c>
      <c r="B1" s="5" t="inlineStr">
        <is>
          <t>Ticker</t>
        </is>
      </c>
      <c r="C1" s="5" t="inlineStr">
        <is>
          <t>Share Price ($)</t>
        </is>
      </c>
      <c r="D1" s="5" t="inlineStr">
        <is>
          <t>Market Cap ($tn)</t>
        </is>
      </c>
      <c r="E1" s="5" t="inlineStr">
        <is>
          <t>Enterprise Value ($tn)</t>
        </is>
      </c>
      <c r="F1" s="5" t="inlineStr">
        <is>
          <t>TTM Revenue ($bn)</t>
        </is>
      </c>
      <c r="G1" s="5" t="inlineStr">
        <is>
          <t>P/E (TTM)</t>
        </is>
      </c>
      <c r="H1" s="5" t="inlineStr">
        <is>
          <t>Forward P/E</t>
        </is>
      </c>
      <c r="I1" s="5" t="inlineStr">
        <is>
          <t>P/S (TTM)</t>
        </is>
      </c>
    </row>
    <row r="2">
      <c r="A2" s="3" t="inlineStr">
        <is>
          <t>NVIDIA</t>
        </is>
      </c>
      <c r="B2" s="3" t="inlineStr">
        <is>
          <t>NVDA</t>
        </is>
      </c>
      <c r="C2" s="8" t="n">
        <v>233.95</v>
      </c>
      <c r="D2" s="8" t="n">
        <v>5.65</v>
      </c>
      <c r="E2" s="8" t="n">
        <v>5.63</v>
      </c>
      <c r="F2" s="8" t="n">
        <v>302.97</v>
      </c>
      <c r="G2" s="8" t="n">
        <v>29.58</v>
      </c>
      <c r="H2" s="8" t="n">
        <v>19.41</v>
      </c>
      <c r="I2" s="8" t="n">
        <v>18.65</v>
      </c>
    </row>
    <row r="3">
      <c r="A3" s="3" t="inlineStr">
        <is>
          <t>AMD</t>
        </is>
      </c>
      <c r="B3" s="3" t="inlineStr">
        <is>
          <t>AMD</t>
        </is>
      </c>
      <c r="C3" s="8" t="n">
        <v>633.91</v>
      </c>
      <c r="D3" s="8" t="n">
        <v>1.03</v>
      </c>
      <c r="E3" s="8" t="n">
        <v>1.03</v>
      </c>
      <c r="F3" s="8" t="n">
        <v>41.31</v>
      </c>
      <c r="G3" s="8" t="n">
        <v>161.8</v>
      </c>
      <c r="H3" s="8" t="n">
        <v>57.38</v>
      </c>
      <c r="I3" s="8" t="n">
        <v/>
      </c>
    </row>
    <row r="4">
      <c r="A4" s="3" t="inlineStr">
        <is>
          <t>Broadcom</t>
        </is>
      </c>
      <c r="B4" s="3" t="inlineStr">
        <is>
          <t>AVGO</t>
        </is>
      </c>
      <c r="C4" s="8" t="n">
        <v>355.14</v>
      </c>
      <c r="D4" s="8" t="n">
        <v>1.7</v>
      </c>
      <c r="E4" s="8" t="n">
        <v>1.73</v>
      </c>
      <c r="F4" s="8" t="n">
        <v>89.33263268523383</v>
      </c>
      <c r="G4" s="8" t="n">
        <v>45.33</v>
      </c>
      <c r="H4" s="8" t="n">
        <v>20.49</v>
      </c>
      <c r="I4" s="8" t="n">
        <v>19.03</v>
      </c>
    </row>
    <row r="5">
      <c r="A5" s="3" t="inlineStr">
        <is>
          <t>TSMC</t>
        </is>
      </c>
      <c r="B5" s="3" t="inlineStr">
        <is>
          <t>TSM</t>
        </is>
      </c>
      <c r="C5" s="8" t="n">
        <v>472.78</v>
      </c>
      <c r="D5" s="8" t="n">
        <v>2.04</v>
      </c>
      <c r="E5" s="8" t="n">
        <v>1.96</v>
      </c>
      <c r="F5" s="8" t="n">
        <v>139.57</v>
      </c>
      <c r="G5" s="8" t="n">
        <v>29.21</v>
      </c>
      <c r="H5" s="8" t="n">
        <v>20.05</v>
      </c>
      <c r="I5" s="8" t="n">
        <v>14.58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5" t="inlineStr">
        <is>
          <t>Fiscal Year</t>
        </is>
      </c>
      <c r="B1" s="5" t="inlineStr">
        <is>
          <t>Revenue Growth</t>
        </is>
      </c>
      <c r="C1" s="5" t="inlineStr">
        <is>
          <t>Revenue ($bn)</t>
        </is>
      </c>
      <c r="D1" s="5" t="inlineStr">
        <is>
          <t>Operating Margin</t>
        </is>
      </c>
      <c r="E1" s="5" t="inlineStr">
        <is>
          <t>EBIT ($bn)</t>
        </is>
      </c>
      <c r="F1" s="5" t="inlineStr">
        <is>
          <t>Tax Rate</t>
        </is>
      </c>
      <c r="G1" s="5" t="inlineStr">
        <is>
          <t>NOPAT ($bn)</t>
        </is>
      </c>
      <c r="H1" s="5" t="inlineStr">
        <is>
          <t>D&amp;A ($bn)</t>
        </is>
      </c>
      <c r="I1" s="5" t="inlineStr">
        <is>
          <t>CapEx ($bn)</t>
        </is>
      </c>
      <c r="J1" s="5" t="inlineStr">
        <is>
          <t>Change in NWC ($bn)</t>
        </is>
      </c>
      <c r="K1" s="5" t="inlineStr">
        <is>
          <t>FCF ($bn)</t>
        </is>
      </c>
    </row>
    <row r="2">
      <c r="A2" s="3" t="inlineStr">
        <is>
          <t>FY2027E</t>
        </is>
      </c>
      <c r="B2" s="7" t="n">
        <v>0.45</v>
      </c>
      <c r="C2" s="6" t="n">
        <v>439.3065</v>
      </c>
      <c r="D2" s="7" t="n">
        <v>0.64</v>
      </c>
      <c r="E2" s="6" t="n">
        <v>281.15616</v>
      </c>
      <c r="F2" s="7" t="n">
        <v>0.15</v>
      </c>
      <c r="G2" s="6" t="n">
        <v>238.982736</v>
      </c>
      <c r="H2" s="6" t="n">
        <v>10.9826625</v>
      </c>
      <c r="I2" s="6" t="n">
        <v>13.179195</v>
      </c>
      <c r="J2" s="6" t="n">
        <v>2.72673</v>
      </c>
      <c r="K2" s="6" t="n">
        <v>234.0594735</v>
      </c>
    </row>
    <row r="3">
      <c r="A3" s="3" t="inlineStr">
        <is>
          <t>FY2028E</t>
        </is>
      </c>
      <c r="B3" s="7" t="n">
        <v>0.35</v>
      </c>
      <c r="C3" s="6" t="n">
        <v>593.0637750000001</v>
      </c>
      <c r="D3" s="7" t="n">
        <v>0.63</v>
      </c>
      <c r="E3" s="6" t="n">
        <v>373.63017825</v>
      </c>
      <c r="F3" s="7" t="n">
        <v>0.15</v>
      </c>
      <c r="G3" s="6" t="n">
        <v>317.5856515125</v>
      </c>
      <c r="H3" s="6" t="n">
        <v>14.826594375</v>
      </c>
      <c r="I3" s="6" t="n">
        <v>17.79191325</v>
      </c>
      <c r="J3" s="6" t="n">
        <v>3.075145500000001</v>
      </c>
      <c r="K3" s="6" t="n">
        <v>311.5451871375</v>
      </c>
    </row>
    <row r="4">
      <c r="A4" s="3" t="inlineStr">
        <is>
          <t>FY2029E</t>
        </is>
      </c>
      <c r="B4" s="7" t="n">
        <v>0.25</v>
      </c>
      <c r="C4" s="6" t="n">
        <v>741.3297187500001</v>
      </c>
      <c r="D4" s="7" t="n">
        <v>0.62</v>
      </c>
      <c r="E4" s="6" t="n">
        <v>459.6244256250001</v>
      </c>
      <c r="F4" s="7" t="n">
        <v>0.15</v>
      </c>
      <c r="G4" s="6" t="n">
        <v>390.6807617812501</v>
      </c>
      <c r="H4" s="6" t="n">
        <v>18.53324296875</v>
      </c>
      <c r="I4" s="6" t="n">
        <v>22.2398915625</v>
      </c>
      <c r="J4" s="6" t="n">
        <v>2.965318875</v>
      </c>
      <c r="K4" s="6" t="n">
        <v>384.0087943125001</v>
      </c>
    </row>
    <row r="5">
      <c r="A5" s="3" t="inlineStr">
        <is>
          <t>FY2030E</t>
        </is>
      </c>
      <c r="B5" s="7" t="n">
        <v>0.18</v>
      </c>
      <c r="C5" s="6" t="n">
        <v>874.7690681250001</v>
      </c>
      <c r="D5" s="7" t="n">
        <v>0.6</v>
      </c>
      <c r="E5" s="6" t="n">
        <v>524.8614408750001</v>
      </c>
      <c r="F5" s="7" t="n">
        <v>0.15</v>
      </c>
      <c r="G5" s="6" t="n">
        <v>446.13222474375</v>
      </c>
      <c r="H5" s="6" t="n">
        <v>21.869226703125</v>
      </c>
      <c r="I5" s="6" t="n">
        <v>26.24307204375</v>
      </c>
      <c r="J5" s="6" t="n">
        <v>2.6687869875</v>
      </c>
      <c r="K5" s="6" t="n">
        <v>439.089592415625</v>
      </c>
    </row>
    <row r="6">
      <c r="A6" s="3" t="inlineStr">
        <is>
          <t>FY2031E</t>
        </is>
      </c>
      <c r="B6" s="7" t="n">
        <v>0.12</v>
      </c>
      <c r="C6" s="6" t="n">
        <v>979.7413563000002</v>
      </c>
      <c r="D6" s="7" t="n">
        <v>0.58</v>
      </c>
      <c r="E6" s="6" t="n">
        <v>568.2499866540001</v>
      </c>
      <c r="F6" s="7" t="n">
        <v>0.15</v>
      </c>
      <c r="G6" s="6" t="n">
        <v>483.0124886559</v>
      </c>
      <c r="H6" s="6" t="n">
        <v>24.49353390750001</v>
      </c>
      <c r="I6" s="6" t="n">
        <v>29.392240689</v>
      </c>
      <c r="J6" s="6" t="n">
        <v>2.099445763500003</v>
      </c>
      <c r="K6" s="6" t="n">
        <v>476.0143361109</v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9" t="inlineStr">
        <is>
          <t>DCF Summary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0" t="inlineStr">
        <is>
          <t>PV of explicit FCF</t>
        </is>
      </c>
      <c r="B10" s="8" t="n">
        <v>1393.918854655019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10" t="inlineStr">
        <is>
          <t>Terminal value</t>
        </is>
      </c>
      <c r="B11" s="8" t="n">
        <v>8957.724324996028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10" t="inlineStr">
        <is>
          <t>PV of terminal value</t>
        </is>
      </c>
      <c r="B12" s="8" t="n">
        <v>5821.906188623078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10" t="inlineStr">
        <is>
          <t>Enterprise value</t>
        </is>
      </c>
      <c r="B13" s="8" t="n">
        <v>7215.825043278098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10" t="inlineStr">
        <is>
          <t>Cash + marketable debt securities</t>
        </is>
      </c>
      <c r="B14" s="8" t="n">
        <v>56.586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10" t="inlineStr">
        <is>
          <t>Debt (approx.)</t>
        </is>
      </c>
      <c r="B15" s="8" t="n">
        <v>8.468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10" t="inlineStr">
        <is>
          <t>Net cash</t>
        </is>
      </c>
      <c r="B16" s="8" t="n">
        <v>48.11799999999999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10" t="inlineStr">
        <is>
          <t>Equity value</t>
        </is>
      </c>
      <c r="B17" s="8" t="n">
        <v>7263.943043278098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10" t="inlineStr">
        <is>
          <t>Shares outstanding (bn)</t>
        </is>
      </c>
      <c r="B18" s="8" t="n">
        <v>24.147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11" t="inlineStr">
        <is>
          <t>Illustrative DCF value/share</t>
        </is>
      </c>
      <c r="B19" s="12" t="n">
        <v>300.8217601887646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13" t="inlineStr">
        <is>
          <t>DCF Sensitivity — Implied Value / Share ($)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inlineStr">
        <is>
          <t>WACC / Terminal Growth</t>
        </is>
      </c>
      <c r="B23" s="7" t="n">
        <v>0.025</v>
      </c>
      <c r="C23" s="7" t="n">
        <v>0.03</v>
      </c>
      <c r="D23" s="7" t="n">
        <v>0.035</v>
      </c>
      <c r="E23" s="7" t="n">
        <v>0.04</v>
      </c>
      <c r="F23" s="7" t="n">
        <v>0.045</v>
      </c>
      <c r="G23" s="3" t="n"/>
      <c r="H23" s="3" t="n"/>
      <c r="I23" s="3" t="n"/>
      <c r="J23" s="3" t="n"/>
      <c r="K23" s="3" t="n"/>
    </row>
    <row r="24">
      <c r="A24" s="7" t="n">
        <v>0.08</v>
      </c>
      <c r="B24" s="8" t="n">
        <v>311.4698678925193</v>
      </c>
      <c r="C24" s="8" t="n">
        <v>337.8149246773333</v>
      </c>
      <c r="D24" s="8" t="n">
        <v>370.0144385254392</v>
      </c>
      <c r="E24" s="8" t="n">
        <v>410.2638308355716</v>
      </c>
      <c r="F24" s="8" t="n">
        <v>462.0130495200275</v>
      </c>
      <c r="G24" s="3" t="n"/>
      <c r="H24" s="3" t="n"/>
      <c r="I24" s="3" t="n"/>
      <c r="J24" s="3" t="n"/>
      <c r="K24" s="3" t="n"/>
    </row>
    <row r="25">
      <c r="A25" s="7" t="n">
        <v>0.08500000000000001</v>
      </c>
      <c r="B25" s="8" t="n">
        <v>284.5333088166393</v>
      </c>
      <c r="C25" s="8" t="n">
        <v>306.0856256161733</v>
      </c>
      <c r="D25" s="8" t="n">
        <v>331.9484057756139</v>
      </c>
      <c r="E25" s="8" t="n">
        <v>363.5584704149303</v>
      </c>
      <c r="F25" s="8" t="n">
        <v>403.0710512140757</v>
      </c>
      <c r="G25" s="3" t="n"/>
      <c r="H25" s="3" t="n"/>
      <c r="I25" s="3" t="n"/>
      <c r="J25" s="3" t="n"/>
      <c r="K25" s="3" t="n"/>
    </row>
    <row r="26">
      <c r="A26" s="7" t="n">
        <v>0.09</v>
      </c>
      <c r="B26" s="8" t="n">
        <v>261.7579309760927</v>
      </c>
      <c r="C26" s="8" t="n">
        <v>279.6621860319007</v>
      </c>
      <c r="D26" s="8" t="n">
        <v>300.8217601887646</v>
      </c>
      <c r="E26" s="8" t="n">
        <v>326.2132491770013</v>
      </c>
      <c r="F26" s="8" t="n">
        <v>357.247291273735</v>
      </c>
      <c r="G26" s="3" t="n"/>
      <c r="H26" s="3" t="n"/>
      <c r="I26" s="3" t="n"/>
      <c r="J26" s="3" t="n"/>
      <c r="K26" s="3" t="n"/>
    </row>
    <row r="27">
      <c r="A27" s="7" t="n">
        <v>0.095</v>
      </c>
      <c r="B27" s="8" t="n">
        <v>242.2517044466386</v>
      </c>
      <c r="C27" s="8" t="n">
        <v>257.3198213664217</v>
      </c>
      <c r="D27" s="8" t="n">
        <v>274.8992911061687</v>
      </c>
      <c r="E27" s="8" t="n">
        <v>295.6750280713242</v>
      </c>
      <c r="F27" s="8" t="n">
        <v>320.6059124295108</v>
      </c>
      <c r="G27" s="3" t="n"/>
      <c r="H27" s="3" t="n"/>
      <c r="I27" s="3" t="n"/>
      <c r="J27" s="3" t="n"/>
      <c r="K27" s="3" t="n"/>
    </row>
    <row r="28">
      <c r="A28" s="7" t="n">
        <v>0.1</v>
      </c>
      <c r="B28" s="8" t="n">
        <v>225.3604828009959</v>
      </c>
      <c r="C28" s="8" t="n">
        <v>238.1836944593668</v>
      </c>
      <c r="D28" s="8" t="n">
        <v>252.9797079113332</v>
      </c>
      <c r="E28" s="8" t="n">
        <v>270.2417236052941</v>
      </c>
      <c r="F28" s="8" t="n">
        <v>290.6422876072477</v>
      </c>
      <c r="G28" s="3" t="n"/>
      <c r="H28" s="3" t="n"/>
      <c r="I28" s="3" t="n"/>
      <c r="J28" s="3" t="n"/>
      <c r="K2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5" t="inlineStr">
        <is>
          <t>Scenario</t>
        </is>
      </c>
      <c r="B1" s="5" t="inlineStr">
        <is>
          <t>FY2027E Revenue Growth</t>
        </is>
      </c>
      <c r="C1" s="5" t="inlineStr">
        <is>
          <t>FY2031E Revenue Growth</t>
        </is>
      </c>
      <c r="D1" s="5" t="inlineStr">
        <is>
          <t>Terminal Growth</t>
        </is>
      </c>
      <c r="E1" s="5" t="inlineStr">
        <is>
          <t>WACC</t>
        </is>
      </c>
    </row>
    <row r="2">
      <c r="A2" s="3" t="inlineStr">
        <is>
          <t>Downside</t>
        </is>
      </c>
      <c r="B2" s="7" t="n">
        <v>0.3</v>
      </c>
      <c r="C2" s="7" t="n">
        <v>0.08</v>
      </c>
      <c r="D2" s="7" t="n">
        <v>0.025</v>
      </c>
      <c r="E2" s="7" t="n">
        <v>0.1</v>
      </c>
    </row>
    <row r="3">
      <c r="A3" s="3" t="inlineStr">
        <is>
          <t>Base</t>
        </is>
      </c>
      <c r="B3" s="7" t="n">
        <v>0.45</v>
      </c>
      <c r="C3" s="7" t="n">
        <v>0.12</v>
      </c>
      <c r="D3" s="7" t="n">
        <v>0.035</v>
      </c>
      <c r="E3" s="7" t="n">
        <v>0.09</v>
      </c>
    </row>
    <row r="4">
      <c r="A4" s="3" t="inlineStr">
        <is>
          <t>Upside</t>
        </is>
      </c>
      <c r="B4" s="7" t="n">
        <v>0.55</v>
      </c>
      <c r="C4" s="7" t="n">
        <v>0.18</v>
      </c>
      <c r="D4" s="7" t="n">
        <v>0.04</v>
      </c>
      <c r="E4" s="7" t="n">
        <v>0.08500000000000001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5" t="inlineStr">
        <is>
          <t>Source</t>
        </is>
      </c>
      <c r="B1" s="5" t="inlineStr">
        <is>
          <t>Use</t>
        </is>
      </c>
    </row>
    <row r="2">
      <c r="A2" s="3" t="inlineStr">
        <is>
          <t>NVIDIA FY2026 Annual Report</t>
        </is>
      </c>
      <c r="B2" s="3" t="inlineStr">
        <is>
          <t>Historical financials, segment data, debt/liquidity</t>
        </is>
      </c>
    </row>
    <row r="3">
      <c r="A3" s="3" t="inlineStr">
        <is>
          <t>NVIDIA Q2 FY2027 results (Aug. 26, 2026)</t>
        </is>
      </c>
      <c r="B3" s="3" t="inlineStr">
        <is>
          <t>Latest quarterly results and liquidity</t>
        </is>
      </c>
    </row>
    <row r="4">
      <c r="A4" s="3" t="inlineStr">
        <is>
          <t>StockAnalysis / market data as of Oct. 2, 2026</t>
        </is>
      </c>
      <c r="B4" s="3" t="inlineStr">
        <is>
          <t>Share prices, market caps, valuation ratios</t>
        </is>
      </c>
    </row>
    <row r="5">
      <c r="A5" s="3" t="inlineStr">
        <is>
          <t>AMD / Broadcom / TSMC public market data</t>
        </is>
      </c>
      <c r="B5" s="3" t="inlineStr">
        <is>
          <t>Trading comparables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2026-10-03T16:24:41Z</dcterms:created>
  <dcterms:modified xmlns:dcterms="http://purl.org/dc/terms/" xmlns:xsi="http://www.w3.org/2001/XMLSchema-instance" xsi:type="dcterms:W3CDTF">2026-10-03T16:24:41Z</dcterms:modified>
</cp:coreProperties>
</file>